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C256703-0E4E-4034-B502-3060813138DD}" xr6:coauthVersionLast="36" xr6:coauthVersionMax="36" xr10:uidLastSave="{00000000-0000-0000-0000-000000000000}"/>
  <bookViews>
    <workbookView xWindow="0" yWindow="0" windowWidth="21570" windowHeight="7890"/>
  </bookViews>
  <sheets>
    <sheet name="despesa_funcao" sheetId="1" r:id="rId1"/>
    <sheet name="Análise" sheetId="3" r:id="rId2"/>
    <sheet name="Gráfico" sheetId="5" r:id="rId3"/>
  </sheets>
  <calcPr calcId="0"/>
  <pivotCaches>
    <pivotCache cacheId="8" r:id="rId4"/>
  </pivotCaches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<sst xmlns="http://schemas.openxmlformats.org/spreadsheetml/2006/main" count="2707" uniqueCount="568">
  <si>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</si>
  <si>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</si>
  <si>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</si>
  <si>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</si>
  <si>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</si>
  <si>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</si>
  <si>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</si>
  <si>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</si>
  <si>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</si>
  <si>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</si>
  <si>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</si>
  <si>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</si>
  <si>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</si>
  <si>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</si>
  <si>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</si>
  <si>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</si>
  <si>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</si>
  <si>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</si>
  <si>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</si>
  <si>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</si>
  <si>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</si>
  <si>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</si>
  <si>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</si>
  <si>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</si>
  <si>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</si>
  <si>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</si>
  <si>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</si>
  <si>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</si>
  <si>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</si>
  <si>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</si>
  <si>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</si>
  <si>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</si>
  <si>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</si>
  <si>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</si>
  <si>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</si>
  <si>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</si>
  <si>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</si>
  <si>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</si>
  <si>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</si>
  <si>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</si>
  <si>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</si>
  <si>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</si>
  <si>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</si>
  <si>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</si>
  <si>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</si>
  <si>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</si>
  <si>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</si>
  <si>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</si>
  <si>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</si>
  <si>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</si>
  <si>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</si>
  <si>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</si>
  <si>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</si>
  <si>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</si>
  <si>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</si>
  <si>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</si>
  <si>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</si>
  <si>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</si>
  <si>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</si>
  <si>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</si>
  <si>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</si>
  <si>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</si>
  <si>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</si>
  <si>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</si>
  <si>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</si>
  <si>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</si>
  <si>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</si>
  <si>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</si>
  <si>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</si>
  <si>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</si>
  <si>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</si>
  <si>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</si>
  <si>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</si>
  <si>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</si>
  <si>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</si>
  <si>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</si>
  <si>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</si>
  <si>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</si>
  <si>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</si>
  <si>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</si>
  <si>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</si>
  <si>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</si>
  <si>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</si>
  <si>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</si>
  <si>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</si>
  <si>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</si>
  <si>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</si>
  <si>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</si>
  <si>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</si>
  <si>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</si>
  <si>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</si>
  <si>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</si>
  <si>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</si>
  <si>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</si>
  <si>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</si>
  <si>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</si>
  <si>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</si>
  <si>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</si>
  <si>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</si>
  <si>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</si>
  <si>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</si>
  <si>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</si>
  <si>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</si>
  <si>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</si>
  <si>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</si>
  <si>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</si>
  <si>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</si>
  <si>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</si>
  <si>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</si>
  <si>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</si>
  <si>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</si>
  <si>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</si>
  <si>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</si>
  <si>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</si>
  <si>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</si>
  <si>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</si>
  <si>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</si>
  <si>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</si>
  <si>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</si>
  <si>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</si>
  <si>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</si>
  <si>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</si>
  <si>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</si>
  <si>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</si>
  <si>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</si>
  <si>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</si>
  <si>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</si>
  <si>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</si>
  <si>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</si>
  <si>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</si>
  <si>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</si>
  <si>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</si>
  <si>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</si>
  <si>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</si>
  <si>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</si>
  <si>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</si>
  <si>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</si>
  <si>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</si>
  <si>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</si>
  <si>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</si>
  <si>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</si>
  <si>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</si>
  <si>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</si>
  <si>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</si>
  <si>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</si>
  <si>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</si>
  <si>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</si>
  <si>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</si>
  <si>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</si>
  <si>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</si>
  <si>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</si>
  <si>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</si>
  <si>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</si>
  <si>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</si>
  <si>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</si>
  <si>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</si>
  <si>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</si>
  <si>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</si>
  <si>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</si>
  <si>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</si>
  <si>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</si>
  <si>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</si>
  <si>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</si>
  <si>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</si>
  <si>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</si>
  <si>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</si>
  <si>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</si>
  <si>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</si>
  <si>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</si>
  <si>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</si>
  <si>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</si>
  <si>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</si>
  <si>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</si>
  <si>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</si>
  <si>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</si>
  <si>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</si>
  <si>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</si>
  <si>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</si>
  <si>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</si>
  <si>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</si>
  <si>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</si>
  <si>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</si>
  <si>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</si>
  <si>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</si>
  <si>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</si>
  <si>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</si>
  <si>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</si>
  <si>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</si>
  <si>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</si>
  <si>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</si>
  <si>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</si>
  <si>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</si>
  <si>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</si>
  <si>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</si>
  <si>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</si>
  <si>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</si>
  <si>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</si>
  <si>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</si>
  <si>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</si>
  <si>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</si>
  <si>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</si>
  <si>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</si>
  <si>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</si>
  <si>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</si>
  <si>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</si>
  <si>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</si>
  <si>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</si>
  <si>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</si>
  <si>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</si>
  <si>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</si>
  <si>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</si>
  <si>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</si>
  <si>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</si>
  <si>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</si>
  <si>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</si>
  <si>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</si>
  <si>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</si>
  <si>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</si>
  <si>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</si>
  <si>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</si>
  <si>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</si>
  <si>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</si>
  <si>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</si>
  <si>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</si>
  <si>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</si>
  <si>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</si>
  <si>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</si>
  <si>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</si>
  <si>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</si>
  <si>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</si>
  <si>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</si>
  <si>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</si>
  <si>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</si>
  <si>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</si>
  <si>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</si>
  <si>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</si>
  <si>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</si>
  <si>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</si>
  <si>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</si>
  <si>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</si>
  <si>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</si>
  <si>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</si>
  <si>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</si>
  <si>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</si>
  <si>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</si>
  <si>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</si>
  <si>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</si>
  <si>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</si>
  <si>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</si>
  <si>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</si>
  <si>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</si>
  <si>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</si>
  <si>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</si>
  <si>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</si>
  <si>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</si>
  <si>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</si>
  <si>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</si>
  <si>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</si>
  <si>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</si>
  <si>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</si>
  <si>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</si>
  <si>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</si>
  <si>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</si>
  <si>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</si>
  <si>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</si>
  <si>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</si>
  <si>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</si>
  <si>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</si>
  <si>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</si>
  <si>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</si>
  <si>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</si>
  <si>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</si>
  <si>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</si>
  <si>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</si>
  <si>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</si>
  <si>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</si>
  <si>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</si>
  <si>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</si>
  <si>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</si>
  <si>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</si>
  <si>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</si>
  <si>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</si>
  <si>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</si>
  <si>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</si>
  <si>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</si>
  <si>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</si>
  <si>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</si>
  <si>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</si>
  <si>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</si>
  <si>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</si>
  <si>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</si>
  <si>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</si>
  <si>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</si>
  <si>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</si>
  <si>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</si>
  <si>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</si>
  <si>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</si>
  <si>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</si>
  <si>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</si>
  <si>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</si>
  <si>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</si>
  <si>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</si>
  <si>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</si>
  <si>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</si>
  <si>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</si>
  <si>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</si>
  <si>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</si>
  <si>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</si>
  <si>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</si>
  <si>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</si>
  <si>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</si>
  <si>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</si>
  <si>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</si>
  <si>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</si>
  <si>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</si>
  <si>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</si>
  <si>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</si>
  <si>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</si>
  <si>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</si>
  <si>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</si>
  <si>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</si>
  <si>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</si>
  <si>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</si>
  <si>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</si>
  <si>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</si>
  <si>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</si>
  <si>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</si>
  <si>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</si>
  <si>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</si>
  <si>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</si>
  <si>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</si>
  <si>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</si>
  <si>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</si>
  <si>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</si>
  <si>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</si>
  <si>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</si>
  <si>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</si>
  <si>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</si>
  <si>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</si>
  <si>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</si>
  <si>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</si>
  <si>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</si>
  <si>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</si>
  <si>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</si>
  <si>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</si>
  <si>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</si>
  <si>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</si>
  <si>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</si>
  <si>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</si>
  <si>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</si>
  <si>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</si>
  <si>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</si>
  <si>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</si>
  <si>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</si>
  <si>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</si>
  <si>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</si>
  <si>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</si>
  <si>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</si>
  <si>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</si>
  <si>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</si>
  <si>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</si>
  <si>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</si>
  <si>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</si>
  <si>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</si>
  <si>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</si>
  <si>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</si>
  <si>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</si>
  <si>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</si>
  <si>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</si>
  <si>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</si>
  <si>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</si>
  <si>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</si>
  <si>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</si>
  <si>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</si>
  <si>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</si>
  <si>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</si>
  <si>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</si>
  <si>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</si>
  <si>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</si>
  <si>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</si>
  <si>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</si>
  <si>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</si>
  <si>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</si>
  <si>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</si>
  <si>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</si>
  <si>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</si>
  <si>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</si>
  <si>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</si>
  <si>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</si>
  <si>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</si>
  <si>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</si>
  <si>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</si>
  <si>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</si>
  <si>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</si>
  <si>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</si>
  <si>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</si>
  <si>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</si>
  <si>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</si>
  <si>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</si>
  <si>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</si>
  <si>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</si>
  <si>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</si>
  <si>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</si>
  <si>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</si>
  <si>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</si>
  <si>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</si>
  <si>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</si>
  <si>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</si>
  <si>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</si>
  <si>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</si>
  <si>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</si>
  <si>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</si>
  <si>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</si>
  <si>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</si>
  <si>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</si>
  <si>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</si>
  <si>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</si>
  <si>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</si>
  <si>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</si>
  <si>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</si>
  <si>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</si>
  <si>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</si>
  <si>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</si>
  <si>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</si>
  <si>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</si>
  <si>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</si>
  <si>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</si>
  <si>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</si>
  <si>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</si>
  <si>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</si>
  <si>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</si>
  <si>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</si>
  <si>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</si>
  <si>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</si>
  <si>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</si>
  <si>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</si>
  <si>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</si>
  <si>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</si>
  <si>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</si>
  <si>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</si>
  <si>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</si>
  <si>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</si>
  <si>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</si>
  <si>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</si>
  <si>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</si>
  <si>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</si>
  <si>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</si>
  <si>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</si>
  <si>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</si>
  <si>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</si>
  <si>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</si>
  <si>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</si>
  <si>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</si>
  <si>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</si>
  <si>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</si>
  <si>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</si>
  <si>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</si>
  <si>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</si>
  <si>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</si>
  <si>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</si>
  <si>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</si>
  <si>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</si>
  <si>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</si>
  <si>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</si>
  <si>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</si>
  <si>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</si>
  <si>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</si>
  <si>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</si>
  <si>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</si>
  <si>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</si>
  <si>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</si>
  <si>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</si>
  <si>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</si>
  <si>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</si>
  <si>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</si>
  <si>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</si>
  <si>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</si>
  <si>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</si>
  <si>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</si>
  <si>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</si>
  <si>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</si>
  <si>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</si>
  <si>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</si>
  <si>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</si>
  <si>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</si>
  <si>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</si>
  <si>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</si>
  <si>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</si>
  <si>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</si>
  <si>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</si>
  <si>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</si>
  <si>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</si>
  <si>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</si>
  <si>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</si>
  <si>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</si>
  <si>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</si>
  <si>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</si>
  <si>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</si>
  <si>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</si>
  <si>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</si>
  <si>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</si>
  <si>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</si>
  <si>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</si>
  <si>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</si>
  <si>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</si>
  <si>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</si>
  <si>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</si>
  <si>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</si>
  <si>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</si>
  <si>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</si>
  <si>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</si>
  <si>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</si>
  <si>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</si>
  <si>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</si>
  <si>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</si>
  <si>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</si>
  <si>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</si>
  <si>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</si>
  <si>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</si>
  <si>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</si>
  <si>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</si>
  <si>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</si>
  <si>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</si>
  <si>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</si>
  <si>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</si>
  <si>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</si>
  <si>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</si>
  <si>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</si>
  <si>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</si>
  <si>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</si>
  <si>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</si>
  <si>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</si>
  <si>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</si>
  <si>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</si>
  <si>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</si>
  <si>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</si>
  <si>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</si>
  <si>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</si>
  <si>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</si>
  <si>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</si>
  <si>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</si>
  <si>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</si>
  <si>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</si>
  <si>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</si>
  <si>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</si>
  <si>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</si>
  <si>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</si>
  <si>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</si>
  <si>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</si>
  <si>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</si>
  <si>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</si>
  <si>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</si>
  <si>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</si>
  <si>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</si>
  <si>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</si>
  <si>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</si>
  <si>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</si>
  <si>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</si>
  <si>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</si>
  <si>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</si>
  <si>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</si>
  <si>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</si>
  <si>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</si>
  <si>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Totais pagos R$</t>
  </si>
  <si>
    <t>Totais de itens</t>
  </si>
  <si>
    <t>Rótulos de Linha</t>
  </si>
  <si>
    <t>Total Geral</t>
  </si>
  <si>
    <t>Soma de Totais pagos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</si>
</sst>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[ellen_excel13_03.xlsx]Gráfico!Tabela dinâmica4</c:name>
    <c:fmtId val="0"/>
  </c:pivotSource>
  <c:chart>
    <c:title>
      <c:layout>
        <c:manualLayout>
          <c:xMode val="edge"/>
          <c:yMode val="edge"/>
          <c:x val="0.36823023597085036"/>
          <c:y val="7.809720188045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 w="12700" cap="flat" cmpd="sng" algn="ctr">
            <a:solidFill>
              <a:schemeClr val="accent4">
                <a:shade val="50000"/>
              </a:schemeClr>
            </a:solidFill>
            <a:prstDash val="solid"/>
            <a:miter lim="800000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48454604576204"/>
          <c:y val="5.1972098166610803E-2"/>
          <c:w val="0.63129324743497972"/>
          <c:h val="0.51089802558550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12700" cap="flat" cmpd="sng" algn="ctr">
              <a:solidFill>
                <a:schemeClr val="accent4">
                  <a:shade val="50000"/>
                </a:schemeClr>
              </a:solidFill>
              <a:prstDash val="solid"/>
              <a:miter lim="800000"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Gráfico!$A$2:$A$18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Gráfico!$B$2:$B$18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A-4F62-8197-1FE8F902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760607"/>
        <c:axId val="465959087"/>
      </c:barChart>
      <c:catAx>
        <c:axId val="188576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959087"/>
        <c:crosses val="autoZero"/>
        <c:auto val="1"/>
        <c:lblAlgn val="ctr"/>
        <c:lblOffset val="100"/>
        <c:noMultiLvlLbl val="0"/>
      </c:catAx>
      <c:valAx>
        <c:axId val="4659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7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stretch>
        <a:fillRect/>
      </a:stretch>
    </a:blip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3238501</xdr:colOff>
      <xdr:row>1</xdr:row>
      <xdr:rowOff>66673</xdr:rowOff>
    </xdr:from>
    <xdr:to>
      <xdr:col>15</xdr:col>
      <xdr:colOff>438151</xdr:colOff>
      <xdr:row>36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54207-1DDC-4C75-8389-BA5519F54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5071759262" createdVersion="6" refreshedVersion="6" minRefreshableVersion="3" recordCount="16">
  <cacheSource type="worksheet">
    <worksheetSource name="Tabela7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is pagos R$" numFmtId="164">
      <sharedItems containsSemiMixedTypes="0" containsString="0" containsNumber="1" minValue="67673.06" maxValue="97415941.840000004"/>
    </cacheField>
    <cacheField name="Totais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is pagos R$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1048576" totalsRowShown="0">
  <autoFilter ref="A1:K1048576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/>
    <tableColumn id="11" name="Pago  (R$)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7" name="Tabela7" displayName="Tabela7" ref="A1:C17" totalsRowShown="0" headerRowCellStyle="Normal" dataCellStyle="Normal">
  <autoFilter ref="A1:C17"/>
  <tableColumns count="3">
    <tableColumn id="1" name="Secretaria" dataCellStyle="Normal"/>
    <tableColumn id="2" name="Totais pagos R$" dataDxfId="0" dataCellStyle="Normal">
      <calculatedColumnFormula>SUMIF(Tabela1[[#All],[Secretaria]],Tabela7[[#This Row],[Secretaria]],Tabela1[[#All],[Pago  (R$)]])</calculatedColumnFormula>
    </tableColumn>
    <tableColumn id="3" name="Totais de itens" dataCellStyle="Normal">
      <calculatedColumnFormula>COUNTIF(Tabela1[[#All],[Secretaria]],Tabela7[[#This Row],[Secretaria]])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tabSelected="1" workbookViewId="0">
      <selection activeCell="D1" sqref="D1:D1048576"/>
    </sheetView>
  </sheetViews>
  <sheetFormatPr defaultRowHeight="15" x14ac:dyDescent="0.25"/>
  <cols>
    <col min="1" max="1" width="6.7109375" customWidth="1"/>
    <col min="2" max="2" width="7" customWidth="1"/>
    <col min="3" max="3" width="40.85546875" bestFit="1" customWidth="1"/>
    <col min="4" max="4" width="40.7109375" customWidth="1"/>
    <col min="5" max="5" width="23" bestFit="1" customWidth="1"/>
    <col min="6" max="6" width="49.7109375" customWidth="1"/>
    <col min="7" max="7" width="55.7109375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36" sqref="A36"/>
    </sheetView>
  </sheetViews>
  <sheetFormatPr defaultRowHeight="15" x14ac:dyDescent="0.25"/>
  <cols>
    <col min="1" max="1" width="57.42578125" bestFit="1" customWidth="1"/>
    <col min="2" max="2" width="16.5703125" style="2" customWidth="1"/>
    <col min="3" max="3" width="16" customWidth="1"/>
  </cols>
  <sheetData>
    <row r="1" spans="1:3" x14ac:dyDescent="0.25">
      <c r="A1" t="s">
        <v>3</v>
      </c>
      <c r="B1" s="2" t="s">
        <v>563</v>
      </c>
      <c r="C1" t="s">
        <v>564</v>
      </c>
    </row>
    <row r="2" spans="1:3" x14ac:dyDescent="0.25">
      <c r="A2" t="s">
        <v>12</v>
      </c>
      <c r="B2" s="2">
        <f>SUMIF(Tabela1[[#All],[Secretaria]],Tabela7[[#This Row],[Secretaria]],Tabela1[[#All],[Pago  (R$)]])</f>
        <v>67673.06</v>
      </c>
      <c r="C2">
        <f>COUNTIF(Tabela1[[#All],[Secretaria]],Tabela7[[#This Row],[Secretaria]])</f>
        <v>1</v>
      </c>
    </row>
    <row r="3" spans="1:3" x14ac:dyDescent="0.25">
      <c r="A3" t="s">
        <v>18</v>
      </c>
      <c r="B3" s="2">
        <f>SUMIF(Tabela1[[#All],[Secretaria]],Tabela7[[#This Row],[Secretaria]],Tabela1[[#All],[Pago  (R$)]])</f>
        <v>3049447.7499999995</v>
      </c>
      <c r="C3">
        <f>COUNTIF(Tabela1[[#All],[Secretaria]],Tabela7[[#This Row],[Secretaria]])</f>
        <v>21</v>
      </c>
    </row>
    <row r="4" spans="1:3" x14ac:dyDescent="0.25">
      <c r="A4" t="s">
        <v>52</v>
      </c>
      <c r="B4" s="2">
        <f>SUMIF(Tabela1[[#All],[Secretaria]],Tabela7[[#This Row],[Secretaria]],Tabela1[[#All],[Pago  (R$)]])</f>
        <v>1182770.0299999998</v>
      </c>
      <c r="C4">
        <f>COUNTIF(Tabela1[[#All],[Secretaria]],Tabela7[[#This Row],[Secretaria]])</f>
        <v>16</v>
      </c>
    </row>
    <row r="5" spans="1:3" x14ac:dyDescent="0.25">
      <c r="A5" t="s">
        <v>74</v>
      </c>
      <c r="B5" s="2">
        <f>SUMIF(Tabela1[[#All],[Secretaria]],Tabela7[[#This Row],[Secretaria]],Tabela1[[#All],[Pago  (R$)]])</f>
        <v>8665883.370000001</v>
      </c>
      <c r="C5">
        <f>COUNTIF(Tabela1[[#All],[Secretaria]],Tabela7[[#This Row],[Secretaria]])</f>
        <v>16</v>
      </c>
    </row>
    <row r="6" spans="1:3" x14ac:dyDescent="0.25">
      <c r="A6" t="s">
        <v>92</v>
      </c>
      <c r="B6" s="2">
        <f>SUMIF(Tabela1[[#All],[Secretaria]],Tabela7[[#This Row],[Secretaria]],Tabela1[[#All],[Pago  (R$)]])</f>
        <v>1644914.53</v>
      </c>
      <c r="C6">
        <f>COUNTIF(Tabela1[[#All],[Secretaria]],Tabela7[[#This Row],[Secretaria]])</f>
        <v>16</v>
      </c>
    </row>
    <row r="7" spans="1:3" x14ac:dyDescent="0.25">
      <c r="A7" t="s">
        <v>115</v>
      </c>
      <c r="B7" s="2">
        <f>SUMIF(Tabela1[[#All],[Secretaria]],Tabela7[[#This Row],[Secretaria]],Tabela1[[#All],[Pago  (R$)]])</f>
        <v>2361341.12</v>
      </c>
      <c r="C7">
        <f>COUNTIF(Tabela1[[#All],[Secretaria]],Tabela7[[#This Row],[Secretaria]])</f>
        <v>13</v>
      </c>
    </row>
    <row r="8" spans="1:3" x14ac:dyDescent="0.25">
      <c r="A8" t="s">
        <v>131</v>
      </c>
      <c r="B8" s="2">
        <f>SUMIF(Tabela1[[#All],[Secretaria]],Tabela7[[#This Row],[Secretaria]],Tabela1[[#All],[Pago  (R$)]])</f>
        <v>97415941.840000004</v>
      </c>
      <c r="C8">
        <f>COUNTIF(Tabela1[[#All],[Secretaria]],Tabela7[[#This Row],[Secretaria]])</f>
        <v>88</v>
      </c>
    </row>
    <row r="9" spans="1:3" x14ac:dyDescent="0.25">
      <c r="A9" t="s">
        <v>236</v>
      </c>
      <c r="B9" s="2">
        <f>SUMIF(Tabela1[[#All],[Secretaria]],Tabela7[[#This Row],[Secretaria]],Tabela1[[#All],[Pago  (R$)]])</f>
        <v>5975771.5599999996</v>
      </c>
      <c r="C9">
        <f>COUNTIF(Tabela1[[#All],[Secretaria]],Tabela7[[#This Row],[Secretaria]])</f>
        <v>23</v>
      </c>
    </row>
    <row r="10" spans="1:3" x14ac:dyDescent="0.25">
      <c r="A10" t="s">
        <v>262</v>
      </c>
      <c r="B10" s="2">
        <f>SUMIF(Tabela1[[#All],[Secretaria]],Tabela7[[#This Row],[Secretaria]],Tabela1[[#All],[Pago  (R$)]])</f>
        <v>8654354.950000003</v>
      </c>
      <c r="C10">
        <f>COUNTIF(Tabela1[[#All],[Secretaria]],Tabela7[[#This Row],[Secretaria]])</f>
        <v>25</v>
      </c>
    </row>
    <row r="11" spans="1:3" x14ac:dyDescent="0.25">
      <c r="A11" t="s">
        <v>291</v>
      </c>
      <c r="B11" s="2">
        <f>SUMIF(Tabela1[[#All],[Secretaria]],Tabela7[[#This Row],[Secretaria]],Tabela1[[#All],[Pago  (R$)]])</f>
        <v>25107843.960000001</v>
      </c>
      <c r="C11">
        <f>COUNTIF(Tabela1[[#All],[Secretaria]],Tabela7[[#This Row],[Secretaria]])</f>
        <v>15</v>
      </c>
    </row>
    <row r="12" spans="1:3" x14ac:dyDescent="0.25">
      <c r="A12" t="s">
        <v>310</v>
      </c>
      <c r="B12" s="2">
        <f>SUMIF(Tabela1[[#All],[Secretaria]],Tabela7[[#This Row],[Secretaria]],Tabela1[[#All],[Pago  (R$)]])</f>
        <v>84243777.629999995</v>
      </c>
      <c r="C12">
        <f>COUNTIF(Tabela1[[#All],[Secretaria]],Tabela7[[#This Row],[Secretaria]])</f>
        <v>115</v>
      </c>
    </row>
    <row r="13" spans="1:3" x14ac:dyDescent="0.25">
      <c r="A13" t="s">
        <v>438</v>
      </c>
      <c r="B13" s="2">
        <f>SUMIF(Tabela1[[#All],[Secretaria]],Tabela7[[#This Row],[Secretaria]],Tabela1[[#All],[Pago  (R$)]])</f>
        <v>30679165.420000002</v>
      </c>
      <c r="C13">
        <f>COUNTIF(Tabela1[[#All],[Secretaria]],Tabela7[[#This Row],[Secretaria]])</f>
        <v>22</v>
      </c>
    </row>
    <row r="14" spans="1:3" x14ac:dyDescent="0.25">
      <c r="A14" t="s">
        <v>464</v>
      </c>
      <c r="B14" s="2">
        <f>SUMIF(Tabela1[[#All],[Secretaria]],Tabela7[[#This Row],[Secretaria]],Tabela1[[#All],[Pago  (R$)]])</f>
        <v>474178.14999999997</v>
      </c>
      <c r="C14">
        <f>COUNTIF(Tabela1[[#All],[Secretaria]],Tabela7[[#This Row],[Secretaria]])</f>
        <v>14</v>
      </c>
    </row>
    <row r="15" spans="1:3" x14ac:dyDescent="0.25">
      <c r="A15" t="s">
        <v>486</v>
      </c>
      <c r="B15" s="2">
        <f>SUMIF(Tabela1[[#All],[Secretaria]],Tabela7[[#This Row],[Secretaria]],Tabela1[[#All],[Pago  (R$)]])</f>
        <v>5438913.9299999978</v>
      </c>
      <c r="C15">
        <f>COUNTIF(Tabela1[[#All],[Secretaria]],Tabela7[[#This Row],[Secretaria]])</f>
        <v>21</v>
      </c>
    </row>
    <row r="16" spans="1:3" x14ac:dyDescent="0.25">
      <c r="A16" t="s">
        <v>510</v>
      </c>
      <c r="B16" s="2">
        <f>SUMIF(Tabela1[[#All],[Secretaria]],Tabela7[[#This Row],[Secretaria]],Tabela1[[#All],[Pago  (R$)]])</f>
        <v>37463150.299999997</v>
      </c>
      <c r="C16">
        <f>COUNTIF(Tabela1[[#All],[Secretaria]],Tabela7[[#This Row],[Secretaria]])</f>
        <v>24</v>
      </c>
    </row>
    <row r="17" spans="1:3" x14ac:dyDescent="0.25">
      <c r="A17" t="s">
        <v>548</v>
      </c>
      <c r="B17" s="2">
        <f>SUMIF(Tabela1[[#All],[Secretaria]],Tabela7[[#This Row],[Secretaria]],Tabela1[[#All],[Pago  (R$)]])</f>
        <v>924217.23</v>
      </c>
      <c r="C17">
        <f>COUNTIF(Tabela1[[#All],[Secretaria]],Tabela7[[#This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U21" sqref="U21"/>
    </sheetView>
  </sheetViews>
  <sheetFormatPr defaultRowHeight="15" x14ac:dyDescent="0.25"/>
  <cols>
    <col min="1" max="1" width="57.42578125" bestFit="1" customWidth="1"/>
    <col min="2" max="2" width="22.85546875" bestFit="1" customWidth="1"/>
  </cols>
  <sheetData>
    <row r="1" spans="1:2" x14ac:dyDescent="0.25">
      <c r="A1" s="3" t="s">
        <v>565</v>
      </c>
      <c r="B1" t="s">
        <v>567</v>
      </c>
    </row>
    <row r="2" spans="1:2" x14ac:dyDescent="0.25">
      <c r="A2" s="4" t="s">
        <v>12</v>
      </c>
      <c r="B2" s="5">
        <v>67673.06</v>
      </c>
    </row>
    <row r="3" spans="1:2" x14ac:dyDescent="0.25">
      <c r="A3" s="4" t="s">
        <v>464</v>
      </c>
      <c r="B3" s="5">
        <v>474178.14999999997</v>
      </c>
    </row>
    <row r="4" spans="1:2" x14ac:dyDescent="0.25">
      <c r="A4" s="4" t="s">
        <v>548</v>
      </c>
      <c r="B4" s="5">
        <v>924217.23</v>
      </c>
    </row>
    <row r="5" spans="1:2" x14ac:dyDescent="0.25">
      <c r="A5" s="4" t="s">
        <v>52</v>
      </c>
      <c r="B5" s="5">
        <v>1182770.0299999998</v>
      </c>
    </row>
    <row r="6" spans="1:2" x14ac:dyDescent="0.25">
      <c r="A6" s="4" t="s">
        <v>92</v>
      </c>
      <c r="B6" s="5">
        <v>1644914.53</v>
      </c>
    </row>
    <row r="7" spans="1:2" x14ac:dyDescent="0.25">
      <c r="A7" s="4" t="s">
        <v>115</v>
      </c>
      <c r="B7" s="5">
        <v>2361341.12</v>
      </c>
    </row>
    <row r="8" spans="1:2" x14ac:dyDescent="0.25">
      <c r="A8" s="4" t="s">
        <v>18</v>
      </c>
      <c r="B8" s="5">
        <v>3049447.7499999995</v>
      </c>
    </row>
    <row r="9" spans="1:2" x14ac:dyDescent="0.25">
      <c r="A9" s="4" t="s">
        <v>486</v>
      </c>
      <c r="B9" s="5">
        <v>5438913.9299999978</v>
      </c>
    </row>
    <row r="10" spans="1:2" x14ac:dyDescent="0.25">
      <c r="A10" s="4" t="s">
        <v>236</v>
      </c>
      <c r="B10" s="5">
        <v>5975771.5599999996</v>
      </c>
    </row>
    <row r="11" spans="1:2" x14ac:dyDescent="0.25">
      <c r="A11" s="4" t="s">
        <v>262</v>
      </c>
      <c r="B11" s="5">
        <v>8654354.950000003</v>
      </c>
    </row>
    <row r="12" spans="1:2" x14ac:dyDescent="0.25">
      <c r="A12" s="4" t="s">
        <v>74</v>
      </c>
      <c r="B12" s="5">
        <v>8665883.370000001</v>
      </c>
    </row>
    <row r="13" spans="1:2" x14ac:dyDescent="0.25">
      <c r="A13" s="4" t="s">
        <v>291</v>
      </c>
      <c r="B13" s="5">
        <v>25107843.960000001</v>
      </c>
    </row>
    <row r="14" spans="1:2" x14ac:dyDescent="0.25">
      <c r="A14" s="4" t="s">
        <v>438</v>
      </c>
      <c r="B14" s="5">
        <v>30679165.420000002</v>
      </c>
    </row>
    <row r="15" spans="1:2" x14ac:dyDescent="0.25">
      <c r="A15" s="4" t="s">
        <v>510</v>
      </c>
      <c r="B15" s="5">
        <v>37463150.299999997</v>
      </c>
    </row>
    <row r="16" spans="1:2" x14ac:dyDescent="0.25">
      <c r="A16" s="4" t="s">
        <v>310</v>
      </c>
      <c r="B16" s="5">
        <v>84243777.629999995</v>
      </c>
    </row>
    <row r="17" spans="1:2" x14ac:dyDescent="0.25">
      <c r="A17" s="4" t="s">
        <v>131</v>
      </c>
      <c r="B17" s="5">
        <v>97415941.840000004</v>
      </c>
    </row>
    <row r="18" spans="1:2" x14ac:dyDescent="0.25">
      <c r="A18" s="4" t="s">
        <v>566</v>
      </c>
      <c r="B18" s="5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Análise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2026-03-13T23:52:45Z</dcterms:created>
  <dcterms:modified xsi:type="dcterms:W3CDTF">2026-03-14T00:59:27Z</dcterms:modified>
</cp:coreProperties>
</file>